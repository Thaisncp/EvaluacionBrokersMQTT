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13d97ed3613884/Escritorio/CICLO_IX/TIC/Objetivo1/Pruebas/"/>
    </mc:Choice>
  </mc:AlternateContent>
  <xr:revisionPtr revIDLastSave="1" documentId="8_{730BB6DE-9A74-4A61-A50C-A1231B3C3F44}" xr6:coauthVersionLast="47" xr6:coauthVersionMax="47" xr10:uidLastSave="{C45D8676-7096-487B-8E59-49269921354B}"/>
  <bookViews>
    <workbookView xWindow="-108" yWindow="-108" windowWidth="23256" windowHeight="12456" activeTab="3" xr2:uid="{C92E1785-6CB3-4F6A-85AB-28455063D463}"/>
  </bookViews>
  <sheets>
    <sheet name="EMQX" sheetId="1" r:id="rId1"/>
    <sheet name="VerneMQ" sheetId="2" r:id="rId2"/>
    <sheet name="Mosquitto" sheetId="3" r:id="rId3"/>
    <sheet name="Resume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4" l="1"/>
  <c r="C17" i="4"/>
  <c r="F11" i="4"/>
  <c r="F10" i="4"/>
  <c r="F9" i="4"/>
  <c r="F8" i="4"/>
  <c r="F7" i="4"/>
  <c r="F6" i="4"/>
  <c r="F5" i="4"/>
  <c r="F4" i="4"/>
  <c r="F3" i="4"/>
  <c r="E11" i="4"/>
  <c r="E10" i="4"/>
  <c r="E9" i="4"/>
  <c r="E8" i="4"/>
  <c r="E7" i="4"/>
  <c r="E6" i="4"/>
  <c r="E5" i="4"/>
  <c r="E4" i="4"/>
  <c r="E3" i="4"/>
  <c r="D13" i="4"/>
  <c r="D12" i="4"/>
  <c r="D11" i="4"/>
  <c r="D10" i="4"/>
  <c r="D9" i="4"/>
  <c r="D8" i="4"/>
  <c r="D7" i="4"/>
  <c r="D6" i="4"/>
  <c r="D5" i="4"/>
  <c r="D4" i="4"/>
  <c r="D3" i="4"/>
  <c r="K10" i="2"/>
  <c r="L4" i="3"/>
  <c r="L5" i="3"/>
  <c r="L6" i="3"/>
  <c r="L7" i="3"/>
  <c r="L8" i="3"/>
  <c r="L9" i="3"/>
  <c r="L10" i="3"/>
  <c r="L11" i="3"/>
  <c r="L12" i="3"/>
  <c r="L13" i="3"/>
  <c r="L3" i="3"/>
  <c r="K4" i="3"/>
  <c r="K5" i="3"/>
  <c r="K6" i="3"/>
  <c r="K7" i="3"/>
  <c r="K8" i="3"/>
  <c r="K9" i="3"/>
  <c r="K10" i="3"/>
  <c r="K11" i="3"/>
  <c r="K12" i="3"/>
  <c r="K13" i="3"/>
  <c r="K3" i="3"/>
  <c r="J4" i="3"/>
  <c r="J5" i="3"/>
  <c r="J6" i="3"/>
  <c r="J7" i="3"/>
  <c r="J8" i="3"/>
  <c r="J9" i="3"/>
  <c r="J10" i="3"/>
  <c r="J11" i="3"/>
  <c r="J12" i="3"/>
  <c r="J13" i="3"/>
  <c r="J3" i="3"/>
  <c r="L13" i="2"/>
  <c r="K13" i="2"/>
  <c r="J13" i="2"/>
  <c r="L12" i="2"/>
  <c r="K12" i="2"/>
  <c r="J12" i="2"/>
  <c r="L11" i="2"/>
  <c r="K11" i="2"/>
  <c r="J11" i="2"/>
  <c r="L10" i="2"/>
  <c r="J10" i="2"/>
  <c r="L9" i="2"/>
  <c r="K9" i="2"/>
  <c r="J9" i="2"/>
  <c r="L8" i="2"/>
  <c r="K8" i="2"/>
  <c r="J8" i="2"/>
  <c r="L7" i="2"/>
  <c r="K7" i="2"/>
  <c r="J7" i="2"/>
  <c r="L6" i="2"/>
  <c r="K6" i="2"/>
  <c r="J6" i="2"/>
  <c r="L5" i="2"/>
  <c r="K5" i="2"/>
  <c r="J5" i="2"/>
  <c r="L4" i="2"/>
  <c r="K4" i="2"/>
  <c r="J4" i="2"/>
  <c r="L3" i="2"/>
  <c r="K3" i="2"/>
  <c r="J3" i="2"/>
  <c r="L4" i="1"/>
  <c r="L5" i="1"/>
  <c r="L6" i="1"/>
  <c r="L7" i="1"/>
  <c r="L8" i="1"/>
  <c r="L9" i="1"/>
  <c r="L10" i="1"/>
  <c r="L11" i="1"/>
  <c r="L12" i="1"/>
  <c r="L13" i="1"/>
  <c r="K4" i="1"/>
  <c r="K5" i="1"/>
  <c r="K6" i="1"/>
  <c r="K7" i="1"/>
  <c r="K8" i="1"/>
  <c r="K9" i="1"/>
  <c r="K10" i="1"/>
  <c r="K11" i="1"/>
  <c r="K12" i="1"/>
  <c r="K13" i="1"/>
  <c r="J4" i="1"/>
  <c r="J5" i="1"/>
  <c r="J6" i="1"/>
  <c r="J7" i="1"/>
  <c r="J8" i="1"/>
  <c r="J9" i="1"/>
  <c r="J10" i="1"/>
  <c r="J11" i="1"/>
  <c r="J12" i="1"/>
  <c r="J13" i="1"/>
  <c r="L3" i="1"/>
  <c r="K3" i="1"/>
  <c r="J3" i="1"/>
</calcChain>
</file>

<file path=xl/sharedStrings.xml><?xml version="1.0" encoding="utf-8"?>
<sst xmlns="http://schemas.openxmlformats.org/spreadsheetml/2006/main" count="157" uniqueCount="54">
  <si>
    <t>Prueba</t>
  </si>
  <si>
    <t>Escenario</t>
  </si>
  <si>
    <t>PUBLICACION</t>
  </si>
  <si>
    <t>RECIVIDO</t>
  </si>
  <si>
    <t>LATENCIA RECIVIDOS</t>
  </si>
  <si>
    <t>Observaciones</t>
  </si>
  <si>
    <t>Normal/base</t>
  </si>
  <si>
    <t>10 clientes</t>
  </si>
  <si>
    <t>50 clientes</t>
  </si>
  <si>
    <t>100 clientes</t>
  </si>
  <si>
    <t>200 clientes</t>
  </si>
  <si>
    <t>16 bytes</t>
  </si>
  <si>
    <t>128 bytes</t>
  </si>
  <si>
    <t>512 bytes</t>
  </si>
  <si>
    <t>1024 bytes</t>
  </si>
  <si>
    <t>5000 mensajes</t>
  </si>
  <si>
    <t>10000 mensajes</t>
  </si>
  <si>
    <t>minima (ms)</t>
  </si>
  <si>
    <t>maxima (ms)</t>
  </si>
  <si>
    <t>promedio (ms)</t>
  </si>
  <si>
    <t>Received Messages:  10000 (100%)</t>
  </si>
  <si>
    <t>Received Messages:  50000 (100%)</t>
  </si>
  <si>
    <t>Received Messages:  100000 (100%)</t>
  </si>
  <si>
    <t>Received Messages:  200000 (100%)</t>
  </si>
  <si>
    <t>fastest (msg/sec)</t>
  </si>
  <si>
    <t>slowest (msg/sec)</t>
  </si>
  <si>
    <t>median (msg/sec)</t>
  </si>
  <si>
    <t>Received Messages:  1000 (100%)</t>
  </si>
  <si>
    <t>Received Messages:  49294 (99%) | Completed:          9 (90%)</t>
  </si>
  <si>
    <t>Received Messages:  79758 (80%) | Completed:          1 (10%)</t>
  </si>
  <si>
    <t>Received Messages:  28900 (58%) | Completed:          0 (0%)</t>
  </si>
  <si>
    <t>Received Messages:  32695 (33%) | Completed:          0 (0%)</t>
  </si>
  <si>
    <t>EMQX (ms)</t>
  </si>
  <si>
    <t>VerneMQ(ms)</t>
  </si>
  <si>
    <t>Mosquitto (ms)</t>
  </si>
  <si>
    <t>Mejor rendimiento</t>
  </si>
  <si>
    <t>0.716332378 | (58%)</t>
  </si>
  <si>
    <t>1.652892562 | (33%)</t>
  </si>
  <si>
    <t>0.205930807 | (90%)</t>
  </si>
  <si>
    <t>0.16 | (80%)</t>
  </si>
  <si>
    <t>Mosquitto</t>
  </si>
  <si>
    <t>EMQX</t>
  </si>
  <si>
    <t>VerneMQ</t>
  </si>
  <si>
    <t>Broker</t>
  </si>
  <si>
    <t>Latencia promedio global</t>
  </si>
  <si>
    <t xml:space="preserve">Desv. Estandar </t>
  </si>
  <si>
    <t>Evaluación global</t>
  </si>
  <si>
    <t>Selección</t>
  </si>
  <si>
    <t>Entrega promedio(%)</t>
  </si>
  <si>
    <t>Desv. Estandar: Indica cuanto varian las latencias de cada broker entre las distintas pruebas</t>
  </si>
  <si>
    <t>Completó todas las pruebas (100% entrega), pero mayor latencia y alta variabilidad.</t>
  </si>
  <si>
    <t>Latencia intermedia, cierta variabilidad; perdió mensajes en pruebas 10 y 11.</t>
  </si>
  <si>
    <t>Menor latencia y menor variabilidad; alta consistencia y buena tasa de entrega.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</si>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</sst>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1" fillId="0" borderId="4" xfId="0" applyFont="1" applyBorder="1"/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2" borderId="6" xfId="0" applyFont="1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9BA3-71F5-49F3-A931-4EDDED9F5F54}">
  <dimension ref="B1:M13"/>
  <sheetViews>
    <sheetView workbookViewId="0">
      <selection activeCell="F22" sqref="F22"/>
    </sheetView>
  </sheetViews>
  <sheetFormatPr baseColWidth="10" defaultRowHeight="14.4" x14ac:dyDescent="0.3"/>
  <cols>
    <col min="3" max="3" width="14.5546875" customWidth="1"/>
    <col min="12" max="12" width="13.44140625" customWidth="1"/>
    <col min="13" max="13" width="29.88671875" customWidth="1"/>
  </cols>
  <sheetData>
    <row r="1" spans="2:13" x14ac:dyDescent="0.3">
      <c r="B1" s="1" t="s">
        <v>0</v>
      </c>
      <c r="C1" s="1" t="s">
        <v>1</v>
      </c>
      <c r="D1" s="2"/>
      <c r="E1" s="2" t="s">
        <v>2</v>
      </c>
      <c r="F1" s="2"/>
      <c r="G1" s="3" t="s">
        <v>3</v>
      </c>
      <c r="H1" s="3"/>
      <c r="I1" s="3"/>
      <c r="J1" s="3" t="s">
        <v>4</v>
      </c>
      <c r="K1" s="3"/>
      <c r="L1" s="3"/>
      <c r="M1" s="1" t="s">
        <v>5</v>
      </c>
    </row>
    <row r="2" spans="2:13" ht="28.8" x14ac:dyDescent="0.3">
      <c r="B2" s="1"/>
      <c r="C2" s="1"/>
      <c r="D2" s="5" t="s">
        <v>24</v>
      </c>
      <c r="E2" s="5" t="s">
        <v>25</v>
      </c>
      <c r="F2" s="5" t="s">
        <v>26</v>
      </c>
      <c r="G2" s="5" t="s">
        <v>24</v>
      </c>
      <c r="H2" s="5" t="s">
        <v>25</v>
      </c>
      <c r="I2" s="5" t="s">
        <v>26</v>
      </c>
      <c r="J2" s="6" t="s">
        <v>17</v>
      </c>
      <c r="K2" s="6" t="s">
        <v>18</v>
      </c>
      <c r="L2" s="6" t="s">
        <v>19</v>
      </c>
      <c r="M2" s="1"/>
    </row>
    <row r="3" spans="2:13" x14ac:dyDescent="0.3">
      <c r="B3" s="4">
        <v>1</v>
      </c>
      <c r="C3" s="2" t="s">
        <v>6</v>
      </c>
      <c r="D3" s="2">
        <v>1304</v>
      </c>
      <c r="E3" s="2">
        <v>1304</v>
      </c>
      <c r="F3" s="2">
        <v>1304</v>
      </c>
      <c r="G3" s="2">
        <v>1742</v>
      </c>
      <c r="H3" s="2">
        <v>1742</v>
      </c>
      <c r="I3" s="2">
        <v>1742</v>
      </c>
      <c r="J3" s="2">
        <f>1000/G3</f>
        <v>0.57405281285878296</v>
      </c>
      <c r="K3" s="2">
        <f>1000/H3</f>
        <v>0.57405281285878296</v>
      </c>
      <c r="L3" s="2">
        <f>1000/I3</f>
        <v>0.57405281285878296</v>
      </c>
      <c r="M3" s="2" t="s">
        <v>27</v>
      </c>
    </row>
    <row r="4" spans="2:13" x14ac:dyDescent="0.3">
      <c r="B4" s="4">
        <v>2</v>
      </c>
      <c r="C4" s="2" t="s">
        <v>7</v>
      </c>
      <c r="D4" s="2">
        <v>3448</v>
      </c>
      <c r="E4" s="2">
        <v>3363</v>
      </c>
      <c r="F4" s="2">
        <v>3389</v>
      </c>
      <c r="G4" s="2">
        <v>1670</v>
      </c>
      <c r="H4" s="2">
        <v>1558</v>
      </c>
      <c r="I4" s="2">
        <v>1581</v>
      </c>
      <c r="J4" s="2">
        <f t="shared" ref="J4:J13" si="0">1000/G4</f>
        <v>0.59880239520958078</v>
      </c>
      <c r="K4" s="2">
        <f t="shared" ref="K4:K13" si="1">1000/H4</f>
        <v>0.64184852374839541</v>
      </c>
      <c r="L4" s="2">
        <f t="shared" ref="L4:L13" si="2">1000/I4</f>
        <v>0.63251106894370657</v>
      </c>
      <c r="M4" s="2" t="s">
        <v>20</v>
      </c>
    </row>
    <row r="5" spans="2:13" x14ac:dyDescent="0.3">
      <c r="B5" s="4">
        <v>3</v>
      </c>
      <c r="C5" s="2" t="s">
        <v>8</v>
      </c>
      <c r="D5" s="2">
        <v>3440</v>
      </c>
      <c r="E5" s="2">
        <v>2927</v>
      </c>
      <c r="F5" s="2">
        <v>3289</v>
      </c>
      <c r="G5" s="2">
        <v>302</v>
      </c>
      <c r="H5" s="2">
        <v>294</v>
      </c>
      <c r="I5" s="2">
        <v>297</v>
      </c>
      <c r="J5" s="2">
        <f t="shared" si="0"/>
        <v>3.3112582781456954</v>
      </c>
      <c r="K5" s="2">
        <f t="shared" si="1"/>
        <v>3.4013605442176869</v>
      </c>
      <c r="L5" s="2">
        <f t="shared" si="2"/>
        <v>3.3670033670033672</v>
      </c>
      <c r="M5" s="2" t="s">
        <v>21</v>
      </c>
    </row>
    <row r="6" spans="2:13" x14ac:dyDescent="0.3">
      <c r="B6" s="4">
        <v>4</v>
      </c>
      <c r="C6" s="2" t="s">
        <v>9</v>
      </c>
      <c r="D6" s="2">
        <v>3447</v>
      </c>
      <c r="E6" s="2">
        <v>2585</v>
      </c>
      <c r="F6" s="2">
        <v>3256</v>
      </c>
      <c r="G6" s="2">
        <v>152</v>
      </c>
      <c r="H6" s="2">
        <v>140</v>
      </c>
      <c r="I6" s="2">
        <v>141</v>
      </c>
      <c r="J6" s="2">
        <f t="shared" si="0"/>
        <v>6.5789473684210522</v>
      </c>
      <c r="K6" s="2">
        <f t="shared" si="1"/>
        <v>7.1428571428571432</v>
      </c>
      <c r="L6" s="2">
        <f t="shared" si="2"/>
        <v>7.0921985815602833</v>
      </c>
      <c r="M6" s="2" t="s">
        <v>22</v>
      </c>
    </row>
    <row r="7" spans="2:13" x14ac:dyDescent="0.3">
      <c r="B7" s="4">
        <v>5</v>
      </c>
      <c r="C7" s="2" t="s">
        <v>10</v>
      </c>
      <c r="D7" s="2">
        <v>3431</v>
      </c>
      <c r="E7" s="2">
        <v>275</v>
      </c>
      <c r="F7" s="2">
        <v>676</v>
      </c>
      <c r="G7" s="2">
        <v>138</v>
      </c>
      <c r="H7" s="2">
        <v>70</v>
      </c>
      <c r="I7" s="2">
        <v>79</v>
      </c>
      <c r="J7" s="2">
        <f t="shared" si="0"/>
        <v>7.2463768115942031</v>
      </c>
      <c r="K7" s="2">
        <f t="shared" si="1"/>
        <v>14.285714285714286</v>
      </c>
      <c r="L7" s="2">
        <f t="shared" si="2"/>
        <v>12.658227848101266</v>
      </c>
      <c r="M7" s="2" t="s">
        <v>23</v>
      </c>
    </row>
    <row r="8" spans="2:13" x14ac:dyDescent="0.3">
      <c r="B8" s="4">
        <v>6</v>
      </c>
      <c r="C8" s="2" t="s">
        <v>11</v>
      </c>
      <c r="D8" s="2">
        <v>60981</v>
      </c>
      <c r="E8" s="2">
        <v>46602</v>
      </c>
      <c r="F8" s="2">
        <v>48871</v>
      </c>
      <c r="G8" s="2">
        <v>784</v>
      </c>
      <c r="H8" s="2">
        <v>686</v>
      </c>
      <c r="I8" s="2">
        <v>765</v>
      </c>
      <c r="J8" s="2">
        <f t="shared" si="0"/>
        <v>1.2755102040816326</v>
      </c>
      <c r="K8" s="2">
        <f t="shared" si="1"/>
        <v>1.4577259475218658</v>
      </c>
      <c r="L8" s="2">
        <f t="shared" si="2"/>
        <v>1.3071895424836601</v>
      </c>
      <c r="M8" s="2" t="s">
        <v>20</v>
      </c>
    </row>
    <row r="9" spans="2:13" x14ac:dyDescent="0.3">
      <c r="B9" s="4">
        <v>7</v>
      </c>
      <c r="C9" s="2" t="s">
        <v>12</v>
      </c>
      <c r="D9" s="2">
        <v>3400</v>
      </c>
      <c r="E9" s="2">
        <v>2123</v>
      </c>
      <c r="F9" s="2">
        <v>3008</v>
      </c>
      <c r="G9" s="2">
        <v>1599</v>
      </c>
      <c r="H9" s="2">
        <v>785</v>
      </c>
      <c r="I9" s="2">
        <v>857</v>
      </c>
      <c r="J9" s="2">
        <f t="shared" si="0"/>
        <v>0.62539086929330834</v>
      </c>
      <c r="K9" s="2">
        <f t="shared" si="1"/>
        <v>1.2738853503184713</v>
      </c>
      <c r="L9" s="2">
        <f t="shared" si="2"/>
        <v>1.1668611435239207</v>
      </c>
      <c r="M9" s="2" t="s">
        <v>20</v>
      </c>
    </row>
    <row r="10" spans="2:13" x14ac:dyDescent="0.3">
      <c r="B10" s="4">
        <v>8</v>
      </c>
      <c r="C10" s="2" t="s">
        <v>13</v>
      </c>
      <c r="D10" s="2">
        <v>2089</v>
      </c>
      <c r="E10" s="2">
        <v>1026</v>
      </c>
      <c r="F10" s="2">
        <v>1668</v>
      </c>
      <c r="G10" s="2">
        <v>1198</v>
      </c>
      <c r="H10" s="2">
        <v>735</v>
      </c>
      <c r="I10" s="2">
        <v>880</v>
      </c>
      <c r="J10" s="2">
        <f t="shared" si="0"/>
        <v>0.8347245409015025</v>
      </c>
      <c r="K10" s="2">
        <f t="shared" si="1"/>
        <v>1.3605442176870748</v>
      </c>
      <c r="L10" s="2">
        <f t="shared" si="2"/>
        <v>1.1363636363636365</v>
      </c>
      <c r="M10" s="2" t="s">
        <v>20</v>
      </c>
    </row>
    <row r="11" spans="2:13" x14ac:dyDescent="0.3">
      <c r="B11" s="4">
        <v>9</v>
      </c>
      <c r="C11" s="2" t="s">
        <v>14</v>
      </c>
      <c r="D11" s="2">
        <v>1124</v>
      </c>
      <c r="E11" s="2">
        <v>654</v>
      </c>
      <c r="F11" s="2">
        <v>896</v>
      </c>
      <c r="G11" s="2">
        <v>472</v>
      </c>
      <c r="H11" s="2">
        <v>151</v>
      </c>
      <c r="I11" s="2">
        <v>247</v>
      </c>
      <c r="J11" s="2">
        <f t="shared" si="0"/>
        <v>2.1186440677966103</v>
      </c>
      <c r="K11" s="2">
        <f t="shared" si="1"/>
        <v>6.6225165562913908</v>
      </c>
      <c r="L11" s="2">
        <f t="shared" si="2"/>
        <v>4.048582995951417</v>
      </c>
      <c r="M11" s="2" t="s">
        <v>20</v>
      </c>
    </row>
    <row r="12" spans="2:13" x14ac:dyDescent="0.3">
      <c r="B12" s="4">
        <v>10</v>
      </c>
      <c r="C12" s="2" t="s">
        <v>15</v>
      </c>
      <c r="D12" s="2">
        <v>6357</v>
      </c>
      <c r="E12" s="2">
        <v>3956</v>
      </c>
      <c r="F12" s="2">
        <v>5201</v>
      </c>
      <c r="G12" s="2">
        <v>1012</v>
      </c>
      <c r="H12" s="2">
        <v>717</v>
      </c>
      <c r="I12" s="2">
        <v>822</v>
      </c>
      <c r="J12" s="2">
        <f t="shared" si="0"/>
        <v>0.98814229249011853</v>
      </c>
      <c r="K12" s="2">
        <f t="shared" si="1"/>
        <v>1.394700139470014</v>
      </c>
      <c r="L12" s="2">
        <f t="shared" si="2"/>
        <v>1.2165450121654502</v>
      </c>
      <c r="M12" s="2" t="s">
        <v>21</v>
      </c>
    </row>
    <row r="13" spans="2:13" x14ac:dyDescent="0.3">
      <c r="B13" s="4">
        <v>11</v>
      </c>
      <c r="C13" s="2" t="s">
        <v>16</v>
      </c>
      <c r="D13" s="2">
        <v>12334</v>
      </c>
      <c r="E13" s="2">
        <v>3281</v>
      </c>
      <c r="F13" s="2">
        <v>4630</v>
      </c>
      <c r="G13" s="2">
        <v>2953</v>
      </c>
      <c r="H13" s="2">
        <v>1969</v>
      </c>
      <c r="I13" s="2">
        <v>2406</v>
      </c>
      <c r="J13" s="2">
        <f t="shared" si="0"/>
        <v>0.33863867253640367</v>
      </c>
      <c r="K13" s="2">
        <f t="shared" si="1"/>
        <v>0.50787201625190448</v>
      </c>
      <c r="L13" s="2">
        <f t="shared" si="2"/>
        <v>0.41562759767248547</v>
      </c>
      <c r="M13" s="2" t="s">
        <v>22</v>
      </c>
    </row>
  </sheetData>
  <mergeCells count="5">
    <mergeCell ref="G1:I1"/>
    <mergeCell ref="J1:L1"/>
    <mergeCell ref="M1:M2"/>
    <mergeCell ref="C1:C2"/>
    <mergeCell ref="B1: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5F5C-7CD4-4B14-9347-4E20253B5749}">
  <dimension ref="B1:M13"/>
  <sheetViews>
    <sheetView workbookViewId="0">
      <selection activeCell="K19" sqref="K19"/>
    </sheetView>
  </sheetViews>
  <sheetFormatPr baseColWidth="10" defaultRowHeight="14.4" x14ac:dyDescent="0.3"/>
  <cols>
    <col min="3" max="3" width="14.77734375" customWidth="1"/>
    <col min="10" max="12" width="12.44140625" customWidth="1"/>
    <col min="13" max="13" width="30" customWidth="1"/>
  </cols>
  <sheetData>
    <row r="1" spans="2:13" x14ac:dyDescent="0.3">
      <c r="B1" s="1" t="s">
        <v>0</v>
      </c>
      <c r="C1" s="1" t="s">
        <v>1</v>
      </c>
      <c r="D1" s="2"/>
      <c r="E1" s="2" t="s">
        <v>2</v>
      </c>
      <c r="F1" s="2"/>
      <c r="G1" s="3" t="s">
        <v>3</v>
      </c>
      <c r="H1" s="3"/>
      <c r="I1" s="3"/>
      <c r="J1" s="3" t="s">
        <v>4</v>
      </c>
      <c r="K1" s="3"/>
      <c r="L1" s="3"/>
      <c r="M1" s="1" t="s">
        <v>5</v>
      </c>
    </row>
    <row r="2" spans="2:13" ht="28.8" x14ac:dyDescent="0.3">
      <c r="B2" s="1"/>
      <c r="C2" s="1"/>
      <c r="D2" s="5" t="s">
        <v>24</v>
      </c>
      <c r="E2" s="5" t="s">
        <v>25</v>
      </c>
      <c r="F2" s="5" t="s">
        <v>26</v>
      </c>
      <c r="G2" s="5" t="s">
        <v>24</v>
      </c>
      <c r="H2" s="5" t="s">
        <v>25</v>
      </c>
      <c r="I2" s="5" t="s">
        <v>26</v>
      </c>
      <c r="J2" s="6" t="s">
        <v>17</v>
      </c>
      <c r="K2" s="6" t="s">
        <v>18</v>
      </c>
      <c r="L2" s="6" t="s">
        <v>19</v>
      </c>
      <c r="M2" s="1"/>
    </row>
    <row r="3" spans="2:13" x14ac:dyDescent="0.3">
      <c r="B3" s="4">
        <v>1</v>
      </c>
      <c r="C3" s="2" t="s">
        <v>6</v>
      </c>
      <c r="D3" s="2">
        <v>2037</v>
      </c>
      <c r="E3" s="2">
        <v>2037</v>
      </c>
      <c r="F3" s="2">
        <v>2037</v>
      </c>
      <c r="G3" s="2">
        <v>2192</v>
      </c>
      <c r="H3" s="2">
        <v>2192</v>
      </c>
      <c r="I3" s="2">
        <v>2192</v>
      </c>
      <c r="J3" s="2">
        <f>1000/G3</f>
        <v>0.45620437956204379</v>
      </c>
      <c r="K3" s="2">
        <f>1000/H3</f>
        <v>0.45620437956204379</v>
      </c>
      <c r="L3" s="2">
        <f>1000/I3</f>
        <v>0.45620437956204379</v>
      </c>
      <c r="M3" s="2" t="s">
        <v>27</v>
      </c>
    </row>
    <row r="4" spans="2:13" x14ac:dyDescent="0.3">
      <c r="B4" s="4">
        <v>2</v>
      </c>
      <c r="C4" s="2" t="s">
        <v>7</v>
      </c>
      <c r="D4" s="2">
        <v>2178</v>
      </c>
      <c r="E4" s="2">
        <v>968</v>
      </c>
      <c r="F4" s="2">
        <v>1473</v>
      </c>
      <c r="G4" s="2">
        <v>2266</v>
      </c>
      <c r="H4" s="2">
        <v>808</v>
      </c>
      <c r="I4" s="2">
        <v>1142</v>
      </c>
      <c r="J4" s="2">
        <f t="shared" ref="J4:L13" si="0">1000/G4</f>
        <v>0.44130626654898497</v>
      </c>
      <c r="K4" s="2">
        <f t="shared" si="0"/>
        <v>1.2376237623762376</v>
      </c>
      <c r="L4" s="2">
        <f t="shared" si="0"/>
        <v>0.87565674255691772</v>
      </c>
      <c r="M4" s="2" t="s">
        <v>20</v>
      </c>
    </row>
    <row r="5" spans="2:13" x14ac:dyDescent="0.3">
      <c r="B5" s="4">
        <v>3</v>
      </c>
      <c r="C5" s="2" t="s">
        <v>8</v>
      </c>
      <c r="D5" s="2">
        <v>1156</v>
      </c>
      <c r="E5" s="2">
        <v>435</v>
      </c>
      <c r="F5" s="2">
        <v>870</v>
      </c>
      <c r="G5" s="2">
        <v>723</v>
      </c>
      <c r="H5" s="2">
        <v>236</v>
      </c>
      <c r="I5" s="2">
        <v>342</v>
      </c>
      <c r="J5" s="2">
        <f t="shared" si="0"/>
        <v>1.3831258644536653</v>
      </c>
      <c r="K5" s="2">
        <f t="shared" si="0"/>
        <v>4.2372881355932206</v>
      </c>
      <c r="L5" s="2">
        <f t="shared" si="0"/>
        <v>2.9239766081871346</v>
      </c>
      <c r="M5" s="2" t="s">
        <v>21</v>
      </c>
    </row>
    <row r="6" spans="2:13" x14ac:dyDescent="0.3">
      <c r="B6" s="4">
        <v>4</v>
      </c>
      <c r="C6" s="2" t="s">
        <v>9</v>
      </c>
      <c r="D6" s="2">
        <v>1580</v>
      </c>
      <c r="E6" s="2">
        <v>224</v>
      </c>
      <c r="F6" s="2">
        <v>583</v>
      </c>
      <c r="G6" s="2">
        <v>998</v>
      </c>
      <c r="H6" s="2">
        <v>129</v>
      </c>
      <c r="I6" s="2">
        <v>187</v>
      </c>
      <c r="J6" s="2">
        <f t="shared" si="0"/>
        <v>1.002004008016032</v>
      </c>
      <c r="K6" s="2">
        <f t="shared" si="0"/>
        <v>7.7519379844961236</v>
      </c>
      <c r="L6" s="2">
        <f t="shared" si="0"/>
        <v>5.3475935828877006</v>
      </c>
      <c r="M6" s="2" t="s">
        <v>22</v>
      </c>
    </row>
    <row r="7" spans="2:13" x14ac:dyDescent="0.3">
      <c r="B7" s="4">
        <v>5</v>
      </c>
      <c r="C7" s="2" t="s">
        <v>10</v>
      </c>
      <c r="D7" s="2">
        <v>1510</v>
      </c>
      <c r="E7" s="2">
        <v>54</v>
      </c>
      <c r="F7" s="2">
        <v>188</v>
      </c>
      <c r="G7" s="2">
        <v>1469</v>
      </c>
      <c r="H7" s="2">
        <v>47</v>
      </c>
      <c r="I7" s="2">
        <v>120</v>
      </c>
      <c r="J7" s="2">
        <f t="shared" si="0"/>
        <v>0.68073519400953031</v>
      </c>
      <c r="K7" s="2">
        <f t="shared" si="0"/>
        <v>21.276595744680851</v>
      </c>
      <c r="L7" s="2">
        <f t="shared" si="0"/>
        <v>8.3333333333333339</v>
      </c>
      <c r="M7" s="2" t="s">
        <v>23</v>
      </c>
    </row>
    <row r="8" spans="2:13" x14ac:dyDescent="0.3">
      <c r="B8" s="4">
        <v>6</v>
      </c>
      <c r="C8" s="2" t="s">
        <v>11</v>
      </c>
      <c r="D8" s="2">
        <v>4675</v>
      </c>
      <c r="E8" s="2">
        <v>2251</v>
      </c>
      <c r="F8" s="2">
        <v>4585</v>
      </c>
      <c r="G8" s="2">
        <v>2365</v>
      </c>
      <c r="H8" s="2">
        <v>1143</v>
      </c>
      <c r="I8" s="2">
        <v>1396</v>
      </c>
      <c r="J8" s="2">
        <f t="shared" si="0"/>
        <v>0.42283298097251587</v>
      </c>
      <c r="K8" s="2">
        <f t="shared" si="0"/>
        <v>0.87489063867016625</v>
      </c>
      <c r="L8" s="2">
        <f t="shared" si="0"/>
        <v>0.71633237822349571</v>
      </c>
      <c r="M8" s="2" t="s">
        <v>20</v>
      </c>
    </row>
    <row r="9" spans="2:13" x14ac:dyDescent="0.3">
      <c r="B9" s="4">
        <v>7</v>
      </c>
      <c r="C9" s="2" t="s">
        <v>12</v>
      </c>
      <c r="D9" s="2">
        <v>2268</v>
      </c>
      <c r="E9" s="2">
        <v>1363</v>
      </c>
      <c r="F9" s="2">
        <v>1647</v>
      </c>
      <c r="G9" s="2">
        <v>2135</v>
      </c>
      <c r="H9" s="2">
        <v>822</v>
      </c>
      <c r="I9" s="2">
        <v>1399</v>
      </c>
      <c r="J9" s="2">
        <f t="shared" si="0"/>
        <v>0.46838407494145201</v>
      </c>
      <c r="K9" s="2">
        <f t="shared" si="0"/>
        <v>1.2165450121654502</v>
      </c>
      <c r="L9" s="2">
        <f t="shared" si="0"/>
        <v>0.71479628305932807</v>
      </c>
      <c r="M9" s="2" t="s">
        <v>20</v>
      </c>
    </row>
    <row r="10" spans="2:13" x14ac:dyDescent="0.3">
      <c r="B10" s="4">
        <v>8</v>
      </c>
      <c r="C10" s="2" t="s">
        <v>13</v>
      </c>
      <c r="D10" s="2">
        <v>1404</v>
      </c>
      <c r="E10" s="2">
        <v>494</v>
      </c>
      <c r="F10" s="2">
        <v>695</v>
      </c>
      <c r="G10" s="2">
        <v>1367</v>
      </c>
      <c r="H10" s="2">
        <v>557</v>
      </c>
      <c r="I10" s="2">
        <v>803</v>
      </c>
      <c r="J10" s="2">
        <f t="shared" si="0"/>
        <v>0.73152889539136801</v>
      </c>
      <c r="K10" s="2">
        <f>1000/H10</f>
        <v>1.7953321364452424</v>
      </c>
      <c r="L10" s="2">
        <f t="shared" si="0"/>
        <v>1.2453300124533002</v>
      </c>
      <c r="M10" s="2" t="s">
        <v>20</v>
      </c>
    </row>
    <row r="11" spans="2:13" x14ac:dyDescent="0.3">
      <c r="B11" s="4">
        <v>9</v>
      </c>
      <c r="C11" s="2" t="s">
        <v>14</v>
      </c>
      <c r="D11" s="2">
        <v>584</v>
      </c>
      <c r="E11" s="2">
        <v>243</v>
      </c>
      <c r="F11" s="2">
        <v>353</v>
      </c>
      <c r="G11" s="2">
        <v>761</v>
      </c>
      <c r="H11" s="2">
        <v>245</v>
      </c>
      <c r="I11" s="2">
        <v>455</v>
      </c>
      <c r="J11" s="2">
        <f t="shared" si="0"/>
        <v>1.3140604467805519</v>
      </c>
      <c r="K11" s="2">
        <f t="shared" si="0"/>
        <v>4.0816326530612246</v>
      </c>
      <c r="L11" s="2">
        <f t="shared" si="0"/>
        <v>2.197802197802198</v>
      </c>
      <c r="M11" s="2" t="s">
        <v>20</v>
      </c>
    </row>
    <row r="12" spans="2:13" ht="28.8" x14ac:dyDescent="0.3">
      <c r="B12" s="6">
        <v>10</v>
      </c>
      <c r="C12" s="21" t="s">
        <v>15</v>
      </c>
      <c r="D12" s="21">
        <v>4339</v>
      </c>
      <c r="E12" s="21">
        <v>1063</v>
      </c>
      <c r="F12" s="21">
        <v>1937</v>
      </c>
      <c r="G12" s="21">
        <v>2982</v>
      </c>
      <c r="H12" s="21">
        <v>905</v>
      </c>
      <c r="I12" s="21">
        <v>1396</v>
      </c>
      <c r="J12" s="21">
        <f t="shared" si="0"/>
        <v>0.33534540576794097</v>
      </c>
      <c r="K12" s="21">
        <f t="shared" si="0"/>
        <v>1.1049723756906078</v>
      </c>
      <c r="L12" s="21">
        <f t="shared" si="0"/>
        <v>0.71633237822349571</v>
      </c>
      <c r="M12" s="20" t="s">
        <v>30</v>
      </c>
    </row>
    <row r="13" spans="2:13" ht="28.8" x14ac:dyDescent="0.3">
      <c r="B13" s="6">
        <v>11</v>
      </c>
      <c r="C13" s="21" t="s">
        <v>16</v>
      </c>
      <c r="D13" s="21">
        <v>2059</v>
      </c>
      <c r="E13" s="21">
        <v>482</v>
      </c>
      <c r="F13" s="21">
        <v>738</v>
      </c>
      <c r="G13" s="21">
        <v>826</v>
      </c>
      <c r="H13" s="21">
        <v>392</v>
      </c>
      <c r="I13" s="21">
        <v>605</v>
      </c>
      <c r="J13" s="21">
        <f t="shared" si="0"/>
        <v>1.2106537530266344</v>
      </c>
      <c r="K13" s="21">
        <f t="shared" si="0"/>
        <v>2.5510204081632653</v>
      </c>
      <c r="L13" s="21">
        <f t="shared" si="0"/>
        <v>1.6528925619834711</v>
      </c>
      <c r="M13" s="20" t="s">
        <v>31</v>
      </c>
    </row>
  </sheetData>
  <mergeCells count="5">
    <mergeCell ref="B1:B2"/>
    <mergeCell ref="C1:C2"/>
    <mergeCell ref="G1:I1"/>
    <mergeCell ref="J1:L1"/>
    <mergeCell ref="M1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C2C6-5870-4F21-AE8F-EE838D03A186}">
  <dimension ref="B1:M13"/>
  <sheetViews>
    <sheetView zoomScale="101" workbookViewId="0">
      <selection activeCell="L17" sqref="L17"/>
    </sheetView>
  </sheetViews>
  <sheetFormatPr baseColWidth="10" defaultRowHeight="14.4" x14ac:dyDescent="0.3"/>
  <cols>
    <col min="3" max="3" width="14.44140625" customWidth="1"/>
    <col min="10" max="11" width="12.21875" customWidth="1"/>
    <col min="12" max="12" width="12.77734375" customWidth="1"/>
    <col min="13" max="13" width="31.44140625" customWidth="1"/>
  </cols>
  <sheetData>
    <row r="1" spans="2:13" x14ac:dyDescent="0.3">
      <c r="B1" s="13" t="s">
        <v>0</v>
      </c>
      <c r="C1" s="13" t="s">
        <v>1</v>
      </c>
      <c r="D1" s="8"/>
      <c r="E1" s="8" t="s">
        <v>2</v>
      </c>
      <c r="F1" s="8"/>
      <c r="G1" s="16" t="s">
        <v>3</v>
      </c>
      <c r="H1" s="15"/>
      <c r="I1" s="17"/>
      <c r="J1" s="16" t="s">
        <v>4</v>
      </c>
      <c r="K1" s="15"/>
      <c r="L1" s="17"/>
      <c r="M1" s="13" t="s">
        <v>5</v>
      </c>
    </row>
    <row r="2" spans="2:13" ht="28.8" x14ac:dyDescent="0.3">
      <c r="B2" s="14"/>
      <c r="C2" s="14"/>
      <c r="D2" s="9" t="s">
        <v>24</v>
      </c>
      <c r="E2" s="9" t="s">
        <v>25</v>
      </c>
      <c r="F2" s="9" t="s">
        <v>26</v>
      </c>
      <c r="G2" s="9" t="s">
        <v>24</v>
      </c>
      <c r="H2" s="9" t="s">
        <v>25</v>
      </c>
      <c r="I2" s="9" t="s">
        <v>26</v>
      </c>
      <c r="J2" s="10" t="s">
        <v>17</v>
      </c>
      <c r="K2" s="10" t="s">
        <v>18</v>
      </c>
      <c r="L2" s="10" t="s">
        <v>19</v>
      </c>
      <c r="M2" s="14"/>
    </row>
    <row r="3" spans="2:13" x14ac:dyDescent="0.3">
      <c r="B3" s="11">
        <v>1</v>
      </c>
      <c r="C3" s="12" t="s">
        <v>6</v>
      </c>
      <c r="D3" s="12">
        <v>3529</v>
      </c>
      <c r="E3" s="12">
        <v>3529</v>
      </c>
      <c r="F3" s="12">
        <v>3529</v>
      </c>
      <c r="G3" s="12">
        <v>2338</v>
      </c>
      <c r="H3" s="12">
        <v>2338</v>
      </c>
      <c r="I3" s="12">
        <v>2338</v>
      </c>
      <c r="J3" s="12">
        <f>1000/G3</f>
        <v>0.42771599657827203</v>
      </c>
      <c r="K3" s="12">
        <f>1000/H3</f>
        <v>0.42771599657827203</v>
      </c>
      <c r="L3" s="12">
        <f>1000/I3</f>
        <v>0.42771599657827203</v>
      </c>
      <c r="M3" s="12" t="s">
        <v>27</v>
      </c>
    </row>
    <row r="4" spans="2:13" x14ac:dyDescent="0.3">
      <c r="B4" s="11">
        <v>2</v>
      </c>
      <c r="C4" s="12" t="s">
        <v>7</v>
      </c>
      <c r="D4" s="12">
        <v>3534</v>
      </c>
      <c r="E4" s="12">
        <v>2389</v>
      </c>
      <c r="F4" s="12">
        <v>3446</v>
      </c>
      <c r="G4" s="12">
        <v>1456</v>
      </c>
      <c r="H4" s="12">
        <v>964</v>
      </c>
      <c r="I4" s="12">
        <v>1235</v>
      </c>
      <c r="J4" s="12">
        <f t="shared" ref="J4:J13" si="0">1000/G4</f>
        <v>0.68681318681318682</v>
      </c>
      <c r="K4" s="12">
        <f t="shared" ref="K4:K13" si="1">1000/H4</f>
        <v>1.0373443983402491</v>
      </c>
      <c r="L4" s="12">
        <f t="shared" ref="L4:L13" si="2">1000/I4</f>
        <v>0.80971659919028338</v>
      </c>
      <c r="M4" s="12" t="s">
        <v>20</v>
      </c>
    </row>
    <row r="5" spans="2:13" x14ac:dyDescent="0.3">
      <c r="B5" s="11">
        <v>3</v>
      </c>
      <c r="C5" s="12" t="s">
        <v>8</v>
      </c>
      <c r="D5" s="12">
        <v>3528</v>
      </c>
      <c r="E5" s="12">
        <v>2847</v>
      </c>
      <c r="F5" s="12">
        <v>3196</v>
      </c>
      <c r="G5" s="12">
        <v>1430</v>
      </c>
      <c r="H5" s="12">
        <v>693</v>
      </c>
      <c r="I5" s="12">
        <v>1062</v>
      </c>
      <c r="J5" s="12">
        <f t="shared" si="0"/>
        <v>0.69930069930069927</v>
      </c>
      <c r="K5" s="12">
        <f t="shared" si="1"/>
        <v>1.4430014430014431</v>
      </c>
      <c r="L5" s="12">
        <f t="shared" si="2"/>
        <v>0.94161958568738224</v>
      </c>
      <c r="M5" s="12" t="s">
        <v>21</v>
      </c>
    </row>
    <row r="6" spans="2:13" x14ac:dyDescent="0.3">
      <c r="B6" s="11">
        <v>4</v>
      </c>
      <c r="C6" s="12" t="s">
        <v>9</v>
      </c>
      <c r="D6" s="12">
        <v>3499</v>
      </c>
      <c r="E6" s="12">
        <v>2359</v>
      </c>
      <c r="F6" s="12">
        <v>2717</v>
      </c>
      <c r="G6" s="12">
        <v>825</v>
      </c>
      <c r="H6" s="12">
        <v>438</v>
      </c>
      <c r="I6" s="12">
        <v>644</v>
      </c>
      <c r="J6" s="12">
        <f t="shared" si="0"/>
        <v>1.2121212121212122</v>
      </c>
      <c r="K6" s="12">
        <f t="shared" si="1"/>
        <v>2.2831050228310503</v>
      </c>
      <c r="L6" s="12">
        <f t="shared" si="2"/>
        <v>1.5527950310559007</v>
      </c>
      <c r="M6" s="12" t="s">
        <v>22</v>
      </c>
    </row>
    <row r="7" spans="2:13" x14ac:dyDescent="0.3">
      <c r="B7" s="11">
        <v>5</v>
      </c>
      <c r="C7" s="12" t="s">
        <v>10</v>
      </c>
      <c r="D7" s="12">
        <v>3455</v>
      </c>
      <c r="E7" s="12">
        <v>261</v>
      </c>
      <c r="F7" s="12">
        <v>2230</v>
      </c>
      <c r="G7" s="12">
        <v>1295</v>
      </c>
      <c r="H7" s="12">
        <v>270</v>
      </c>
      <c r="I7" s="12">
        <v>439</v>
      </c>
      <c r="J7" s="12">
        <f t="shared" si="0"/>
        <v>0.77220077220077221</v>
      </c>
      <c r="K7" s="12">
        <f t="shared" si="1"/>
        <v>3.7037037037037037</v>
      </c>
      <c r="L7" s="12">
        <f t="shared" si="2"/>
        <v>2.2779043280182232</v>
      </c>
      <c r="M7" s="12" t="s">
        <v>23</v>
      </c>
    </row>
    <row r="8" spans="2:13" x14ac:dyDescent="0.3">
      <c r="B8" s="11">
        <v>6</v>
      </c>
      <c r="C8" s="12" t="s">
        <v>11</v>
      </c>
      <c r="D8" s="12">
        <v>69503</v>
      </c>
      <c r="E8" s="12">
        <v>40209</v>
      </c>
      <c r="F8" s="12">
        <v>44409</v>
      </c>
      <c r="G8" s="12">
        <v>1486</v>
      </c>
      <c r="H8" s="12">
        <v>1185</v>
      </c>
      <c r="I8" s="12">
        <v>1203</v>
      </c>
      <c r="J8" s="12">
        <f t="shared" si="0"/>
        <v>0.67294751009421261</v>
      </c>
      <c r="K8" s="12">
        <f t="shared" si="1"/>
        <v>0.84388185654008441</v>
      </c>
      <c r="L8" s="12">
        <f t="shared" si="2"/>
        <v>0.83125519534497094</v>
      </c>
      <c r="M8" s="12" t="s">
        <v>20</v>
      </c>
    </row>
    <row r="9" spans="2:13" x14ac:dyDescent="0.3">
      <c r="B9" s="11">
        <v>7</v>
      </c>
      <c r="C9" s="12" t="s">
        <v>12</v>
      </c>
      <c r="D9" s="12">
        <v>3522</v>
      </c>
      <c r="E9" s="12">
        <v>3261</v>
      </c>
      <c r="F9" s="12">
        <v>3380</v>
      </c>
      <c r="G9" s="12">
        <v>1761</v>
      </c>
      <c r="H9" s="12">
        <v>1697</v>
      </c>
      <c r="I9" s="12">
        <v>1717</v>
      </c>
      <c r="J9" s="12">
        <f t="shared" si="0"/>
        <v>0.56785917092561045</v>
      </c>
      <c r="K9" s="12">
        <f t="shared" si="1"/>
        <v>0.58927519151443719</v>
      </c>
      <c r="L9" s="12">
        <f t="shared" si="2"/>
        <v>0.58241118229470001</v>
      </c>
      <c r="M9" s="12" t="s">
        <v>20</v>
      </c>
    </row>
    <row r="10" spans="2:13" x14ac:dyDescent="0.3">
      <c r="B10" s="11">
        <v>8</v>
      </c>
      <c r="C10" s="12" t="s">
        <v>13</v>
      </c>
      <c r="D10" s="12">
        <v>1768</v>
      </c>
      <c r="E10" s="12">
        <v>761</v>
      </c>
      <c r="F10" s="12">
        <v>1395</v>
      </c>
      <c r="G10" s="12">
        <v>2399</v>
      </c>
      <c r="H10" s="12">
        <v>224</v>
      </c>
      <c r="I10" s="12">
        <v>394</v>
      </c>
      <c r="J10" s="12">
        <f t="shared" si="0"/>
        <v>0.4168403501458941</v>
      </c>
      <c r="K10" s="12">
        <f t="shared" si="1"/>
        <v>4.4642857142857144</v>
      </c>
      <c r="L10" s="12">
        <f t="shared" si="2"/>
        <v>2.5380710659898478</v>
      </c>
      <c r="M10" s="12" t="s">
        <v>20</v>
      </c>
    </row>
    <row r="11" spans="2:13" x14ac:dyDescent="0.3">
      <c r="B11" s="11">
        <v>9</v>
      </c>
      <c r="C11" s="12" t="s">
        <v>14</v>
      </c>
      <c r="D11" s="12">
        <v>1734</v>
      </c>
      <c r="E11" s="12">
        <v>1583</v>
      </c>
      <c r="F11" s="12">
        <v>1653</v>
      </c>
      <c r="G11" s="12">
        <v>1664</v>
      </c>
      <c r="H11" s="12">
        <v>755</v>
      </c>
      <c r="I11" s="12">
        <v>846</v>
      </c>
      <c r="J11" s="12">
        <f t="shared" si="0"/>
        <v>0.60096153846153844</v>
      </c>
      <c r="K11" s="12">
        <f t="shared" si="1"/>
        <v>1.3245033112582782</v>
      </c>
      <c r="L11" s="12">
        <f t="shared" si="2"/>
        <v>1.1820330969267139</v>
      </c>
      <c r="M11" s="12" t="s">
        <v>20</v>
      </c>
    </row>
    <row r="12" spans="2:13" ht="28.8" x14ac:dyDescent="0.3">
      <c r="B12" s="18">
        <v>10</v>
      </c>
      <c r="C12" s="19" t="s">
        <v>15</v>
      </c>
      <c r="D12" s="19">
        <v>8557</v>
      </c>
      <c r="E12" s="19">
        <v>6598</v>
      </c>
      <c r="F12" s="19">
        <v>7531</v>
      </c>
      <c r="G12" s="19">
        <v>6275</v>
      </c>
      <c r="H12" s="19">
        <v>3784</v>
      </c>
      <c r="I12" s="19">
        <v>4856</v>
      </c>
      <c r="J12" s="19">
        <f t="shared" si="0"/>
        <v>0.15936254980079681</v>
      </c>
      <c r="K12" s="19">
        <f t="shared" si="1"/>
        <v>0.26427061310782241</v>
      </c>
      <c r="L12" s="19">
        <f t="shared" si="2"/>
        <v>0.20593080724876442</v>
      </c>
      <c r="M12" s="27" t="s">
        <v>28</v>
      </c>
    </row>
    <row r="13" spans="2:13" ht="28.8" x14ac:dyDescent="0.3">
      <c r="B13" s="18">
        <v>11</v>
      </c>
      <c r="C13" s="19" t="s">
        <v>16</v>
      </c>
      <c r="D13" s="19">
        <v>13894</v>
      </c>
      <c r="E13" s="19">
        <v>3158</v>
      </c>
      <c r="F13" s="19">
        <v>12851</v>
      </c>
      <c r="G13" s="19">
        <v>7459</v>
      </c>
      <c r="H13" s="19">
        <v>2871</v>
      </c>
      <c r="I13" s="19">
        <v>6250</v>
      </c>
      <c r="J13" s="19">
        <f t="shared" si="0"/>
        <v>0.1340662287169862</v>
      </c>
      <c r="K13" s="19">
        <f t="shared" si="1"/>
        <v>0.34831069313827934</v>
      </c>
      <c r="L13" s="19">
        <f t="shared" si="2"/>
        <v>0.16</v>
      </c>
      <c r="M13" s="27" t="s">
        <v>29</v>
      </c>
    </row>
  </sheetData>
  <mergeCells count="5">
    <mergeCell ref="B1:B2"/>
    <mergeCell ref="C1:C2"/>
    <mergeCell ref="G1:I1"/>
    <mergeCell ref="J1:L1"/>
    <mergeCell ref="M1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B707-36D5-4B1A-B2E2-B268FC84E5F1}">
  <dimension ref="B2:G22"/>
  <sheetViews>
    <sheetView tabSelected="1" topLeftCell="A11" workbookViewId="0">
      <selection activeCell="G19" sqref="G19"/>
    </sheetView>
  </sheetViews>
  <sheetFormatPr baseColWidth="10" defaultRowHeight="14.4" x14ac:dyDescent="0.3"/>
  <cols>
    <col min="3" max="3" width="13.6640625" customWidth="1"/>
    <col min="4" max="4" width="13.21875" customWidth="1"/>
    <col min="5" max="5" width="17.5546875" customWidth="1"/>
    <col min="6" max="6" width="17.44140625" customWidth="1"/>
  </cols>
  <sheetData>
    <row r="2" spans="2:7" ht="28.8" x14ac:dyDescent="0.3">
      <c r="B2" s="6" t="s">
        <v>0</v>
      </c>
      <c r="C2" s="6" t="s">
        <v>1</v>
      </c>
      <c r="D2" s="6" t="s">
        <v>32</v>
      </c>
      <c r="E2" s="6" t="s">
        <v>33</v>
      </c>
      <c r="F2" s="6" t="s">
        <v>34</v>
      </c>
      <c r="G2" s="5" t="s">
        <v>35</v>
      </c>
    </row>
    <row r="3" spans="2:7" x14ac:dyDescent="0.3">
      <c r="B3" s="4">
        <v>1</v>
      </c>
      <c r="C3" s="22" t="s">
        <v>6</v>
      </c>
      <c r="D3" s="24">
        <f>1000/1742</f>
        <v>0.57405281285878296</v>
      </c>
      <c r="E3" s="24">
        <f>1000/2192</f>
        <v>0.45620437956204379</v>
      </c>
      <c r="F3" s="26">
        <f>1000/2338</f>
        <v>0.42771599657827203</v>
      </c>
      <c r="G3" s="2" t="s">
        <v>40</v>
      </c>
    </row>
    <row r="4" spans="2:7" x14ac:dyDescent="0.3">
      <c r="B4" s="4">
        <v>2</v>
      </c>
      <c r="C4" s="22" t="s">
        <v>7</v>
      </c>
      <c r="D4" s="24">
        <f>1000/1581</f>
        <v>0.63251106894370657</v>
      </c>
      <c r="E4" s="24">
        <f>1000/1142</f>
        <v>0.87565674255691772</v>
      </c>
      <c r="F4" s="26">
        <f>1000/1235</f>
        <v>0.80971659919028338</v>
      </c>
      <c r="G4" s="2" t="s">
        <v>41</v>
      </c>
    </row>
    <row r="5" spans="2:7" x14ac:dyDescent="0.3">
      <c r="B5" s="4">
        <v>3</v>
      </c>
      <c r="C5" s="22" t="s">
        <v>8</v>
      </c>
      <c r="D5" s="24">
        <f>1000/297</f>
        <v>3.3670033670033672</v>
      </c>
      <c r="E5" s="24">
        <f>1000/342</f>
        <v>2.9239766081871346</v>
      </c>
      <c r="F5" s="26">
        <f>1000/1062</f>
        <v>0.94161958568738224</v>
      </c>
      <c r="G5" s="2" t="s">
        <v>40</v>
      </c>
    </row>
    <row r="6" spans="2:7" x14ac:dyDescent="0.3">
      <c r="B6" s="4">
        <v>4</v>
      </c>
      <c r="C6" s="22" t="s">
        <v>9</v>
      </c>
      <c r="D6" s="24">
        <f>1000/141</f>
        <v>7.0921985815602833</v>
      </c>
      <c r="E6" s="24">
        <f>1000/187</f>
        <v>5.3475935828877006</v>
      </c>
      <c r="F6" s="26">
        <f>1000/644</f>
        <v>1.5527950310559007</v>
      </c>
      <c r="G6" s="2" t="s">
        <v>40</v>
      </c>
    </row>
    <row r="7" spans="2:7" x14ac:dyDescent="0.3">
      <c r="B7" s="4">
        <v>5</v>
      </c>
      <c r="C7" s="22" t="s">
        <v>10</v>
      </c>
      <c r="D7" s="24">
        <f>1000/79</f>
        <v>12.658227848101266</v>
      </c>
      <c r="E7" s="24">
        <f>1000/120</f>
        <v>8.3333333333333339</v>
      </c>
      <c r="F7" s="26">
        <f>1000/439</f>
        <v>2.2779043280182232</v>
      </c>
      <c r="G7" s="2" t="s">
        <v>40</v>
      </c>
    </row>
    <row r="8" spans="2:7" x14ac:dyDescent="0.3">
      <c r="B8" s="4">
        <v>6</v>
      </c>
      <c r="C8" s="22" t="s">
        <v>11</v>
      </c>
      <c r="D8" s="24">
        <f>1000/765</f>
        <v>1.3071895424836601</v>
      </c>
      <c r="E8" s="24">
        <f>1000/1396</f>
        <v>0.71633237822349571</v>
      </c>
      <c r="F8" s="26">
        <f>1000/1203</f>
        <v>0.83125519534497094</v>
      </c>
      <c r="G8" s="2" t="s">
        <v>42</v>
      </c>
    </row>
    <row r="9" spans="2:7" x14ac:dyDescent="0.3">
      <c r="B9" s="4">
        <v>7</v>
      </c>
      <c r="C9" s="22" t="s">
        <v>12</v>
      </c>
      <c r="D9" s="24">
        <f>1000/857</f>
        <v>1.1668611435239207</v>
      </c>
      <c r="E9" s="24">
        <f>1000/1399</f>
        <v>0.71479628305932807</v>
      </c>
      <c r="F9" s="26">
        <f>1000/1717</f>
        <v>0.58241118229470001</v>
      </c>
      <c r="G9" s="2" t="s">
        <v>40</v>
      </c>
    </row>
    <row r="10" spans="2:7" x14ac:dyDescent="0.3">
      <c r="B10" s="4">
        <v>8</v>
      </c>
      <c r="C10" s="22" t="s">
        <v>13</v>
      </c>
      <c r="D10" s="24">
        <f>1000/880</f>
        <v>1.1363636363636365</v>
      </c>
      <c r="E10" s="24">
        <f>1000/803</f>
        <v>1.2453300124533002</v>
      </c>
      <c r="F10" s="26">
        <f>1000/394</f>
        <v>2.5380710659898478</v>
      </c>
      <c r="G10" s="2" t="s">
        <v>41</v>
      </c>
    </row>
    <row r="11" spans="2:7" x14ac:dyDescent="0.3">
      <c r="B11" s="4">
        <v>9</v>
      </c>
      <c r="C11" s="22" t="s">
        <v>14</v>
      </c>
      <c r="D11" s="24">
        <f>1000/247</f>
        <v>4.048582995951417</v>
      </c>
      <c r="E11" s="24">
        <f>1000/455</f>
        <v>2.197802197802198</v>
      </c>
      <c r="F11" s="26">
        <f>1000/846</f>
        <v>1.1820330969267139</v>
      </c>
      <c r="G11" s="2" t="s">
        <v>40</v>
      </c>
    </row>
    <row r="12" spans="2:7" x14ac:dyDescent="0.3">
      <c r="B12" s="4">
        <v>10</v>
      </c>
      <c r="C12" s="23" t="s">
        <v>15</v>
      </c>
      <c r="D12" s="24">
        <f>1000/822</f>
        <v>1.2165450121654502</v>
      </c>
      <c r="E12" s="25" t="s">
        <v>36</v>
      </c>
      <c r="F12" s="7" t="s">
        <v>38</v>
      </c>
      <c r="G12" s="2" t="s">
        <v>41</v>
      </c>
    </row>
    <row r="13" spans="2:7" x14ac:dyDescent="0.3">
      <c r="B13" s="4">
        <v>11</v>
      </c>
      <c r="C13" s="23" t="s">
        <v>16</v>
      </c>
      <c r="D13" s="24">
        <f>1000/2406</f>
        <v>0.41562759767248547</v>
      </c>
      <c r="E13" s="7" t="s">
        <v>37</v>
      </c>
      <c r="F13" s="7" t="s">
        <v>39</v>
      </c>
      <c r="G13" s="2" t="s">
        <v>41</v>
      </c>
    </row>
    <row r="16" spans="2:7" ht="43.2" x14ac:dyDescent="0.3">
      <c r="B16" s="5" t="s">
        <v>43</v>
      </c>
      <c r="C16" s="5" t="s">
        <v>44</v>
      </c>
      <c r="D16" s="5" t="s">
        <v>45</v>
      </c>
      <c r="E16" s="5" t="s">
        <v>48</v>
      </c>
      <c r="F16" s="5" t="s">
        <v>46</v>
      </c>
      <c r="G16" s="5" t="s">
        <v>47</v>
      </c>
    </row>
    <row r="17" spans="2:7" ht="72" x14ac:dyDescent="0.3">
      <c r="B17" s="21" t="s">
        <v>41</v>
      </c>
      <c r="C17" s="21">
        <f>AVERAGE(D3:D13)</f>
        <v>3.0559239642389069</v>
      </c>
      <c r="D17" s="21">
        <f>_xlfn.STDEV.P(D3:D13)</f>
        <v>3.5964165446518144</v>
      </c>
      <c r="E17" s="21">
        <v>100</v>
      </c>
      <c r="F17" s="28" t="s">
        <v>50</v>
      </c>
      <c r="G17" s="2"/>
    </row>
    <row r="18" spans="2:7" ht="72" x14ac:dyDescent="0.3">
      <c r="B18" s="21" t="s">
        <v>42</v>
      </c>
      <c r="C18" s="21">
        <v>2.2891136780000001</v>
      </c>
      <c r="D18" s="21">
        <v>2.3466749249999999</v>
      </c>
      <c r="E18" s="21">
        <v>90.09</v>
      </c>
      <c r="F18" s="28" t="s">
        <v>51</v>
      </c>
      <c r="G18" s="2"/>
    </row>
    <row r="19" spans="2:7" ht="72" x14ac:dyDescent="0.3">
      <c r="B19" s="21" t="s">
        <v>40</v>
      </c>
      <c r="C19" s="21">
        <v>1.0463138999999999</v>
      </c>
      <c r="D19" s="21">
        <v>0.75196421000000002</v>
      </c>
      <c r="E19" s="21">
        <v>97.27</v>
      </c>
      <c r="F19" s="28" t="s">
        <v>52</v>
      </c>
      <c r="G19" s="6" t="s">
        <v>53</v>
      </c>
    </row>
    <row r="22" spans="2:7" x14ac:dyDescent="0.3">
      <c r="B2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EMQX</vt:lpstr>
      <vt:lpstr>VerneMQ</vt:lpstr>
      <vt:lpstr>Mosquitto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Nicole Cartuche Peralta</dc:creator>
  <cp:lastModifiedBy>Thais Nicole Cartuche Peralta</cp:lastModifiedBy>
  <dcterms:created xsi:type="dcterms:W3CDTF">2025-10-06T23:31:07Z</dcterms:created>
  <dcterms:modified xsi:type="dcterms:W3CDTF">2025-10-08T02:42:22Z</dcterms:modified>
</cp:coreProperties>
</file>